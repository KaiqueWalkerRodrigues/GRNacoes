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CAMPANHA 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<sst xmlns="http://schemas.openxmlformats.org/spreadsheetml/2006/main" uniqueCount="40">
  <si>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CAMPANHA 76</t>
  </si>
  <si>
    <t>PERÍODO:</t>
  </si>
  <si>
    <t>21/09/2025 - 20/10/2025</t>
  </si>
  <si>
    <t>PAGAMENTO:</t>
  </si>
  <si>
    <t>06/11/2025</t>
  </si>
  <si>
    <t>VENDA EM BOLETOS - MATRIZ</t>
  </si>
  <si>
    <t>PAGAMENTO PÓS:</t>
  </si>
  <si>
    <t>05/12/2025</t>
  </si>
  <si>
    <t>VENDEDOR</t>
  </si>
  <si>
    <t>VENDAS EM BOLETO</t>
  </si>
  <si>
    <t>CONVERTIDAS (3%)</t>
  </si>
  <si>
    <t>NÃO CONVERTIDAS (2%)</t>
  </si>
  <si>
    <t>NÃO CONVERTIDAS (%)</t>
  </si>
  <si>
    <t>COMISSÃO (2%)</t>
  </si>
  <si>
    <t>CONVERSÃO PÓS FECH</t>
  </si>
  <si>
    <t>COMISSÃO (2%)-PÓS-FECH</t>
  </si>
  <si>
    <t>Ana</t>
  </si>
  <si>
    <t>Carmen</t>
  </si>
  <si>
    <t>Sibely</t>
  </si>
  <si>
    <t>Sttefani</t>
  </si>
  <si>
    <t>Suzana</t>
  </si>
  <si>
    <t>TOTAL</t>
  </si>
  <si>
    <t>VENDA EM BOLETOS - PRESTIGIO</t>
  </si>
  <si>
    <t>Andressa</t>
  </si>
  <si>
    <t>Drielly</t>
  </si>
  <si>
    <t>Greicy</t>
  </si>
  <si>
    <t>VENDA EM BOLETOS - DAILY</t>
  </si>
  <si>
    <t>Eduarda</t>
  </si>
  <si>
    <t>Terezinha</t>
  </si>
  <si>
    <t>RESUMO GERAL VENDAS EM BOLETOS</t>
  </si>
  <si>
    <t>EMPRESA</t>
  </si>
  <si>
    <t>MATRIZ</t>
  </si>
  <si>
    <t>PRESTIGIO</t>
  </si>
  <si>
    <t>DAILY</t>
  </si>
  <si>
    <t>RESUMO DE VENDAS EM BOLETOS PERIODO 21/09/2025 A 20/10/2025</t>
  </si>
  <si>
    <t>OTICAS</t>
  </si>
  <si>
    <t>CONVERTIDAS</t>
  </si>
  <si>
    <t>NÃO CONVERTIDAS</t>
  </si>
  <si>
    <t>CONVERTIDO:</t>
  </si>
  <si>
    <t>NÃO CONVERTIDO:</t>
  </si>
</sst>
</file>

<file path=xl/styles.xml><?xml version="1.0" encoding="utf-8"?>
<styleSheet xmlns="http://schemas.openxmlformats.org/spreadsheetml/2006/main" xml:space="preserve">
  <numFmts count="1">
    <numFmt numFmtId="164" formatCode="_-&quot;R$&quot; * #,##0.00_-;-&quot;R$&quot; * #,##0.00_-;_-&quot;R$&quot; * &quot;-&quot;??_-;_-@_-"/>
  </numFmts>
  <fonts count="5">
    <font>
      <b val="0"/>
      <i val="0"/>
      <strike val="0"/>
      <u val="none"/>
      <sz val="10"/>
      <color rgb="FF000000"/>
      <name val="Aptos Narrow"/>
    </font>
    <font>
      <b val="1"/>
      <i val="0"/>
      <strike val="0"/>
      <u val="none"/>
      <sz val="10"/>
      <color rgb="FF000000"/>
      <name val="Aptos Narrow"/>
    </font>
    <font>
      <b val="1"/>
      <i val="0"/>
      <strike val="0"/>
      <u val="none"/>
      <sz val="10"/>
      <color rgb="FFFFFFFF"/>
      <name val="Aptos Narrow"/>
    </font>
    <font>
      <b val="0"/>
      <i val="0"/>
      <strike val="0"/>
      <u val="none"/>
      <sz val="10"/>
      <color rgb="FFFF0000"/>
      <name val="Aptos Narrow"/>
    </font>
    <font>
      <b val="1"/>
      <i val="0"/>
      <strike val="0"/>
      <u val="none"/>
      <sz val="10"/>
      <color rgb="FFFF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/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righ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/>
    <xf xfId="0" fontId="2" numFmtId="0" fillId="3" borderId="1" applyFont="1" applyNumberFormat="0" applyFill="1" applyBorder="1" applyAlignment="0"/>
    <xf xfId="0" fontId="0" numFmtId="164" fillId="2" borderId="1" applyFont="0" applyNumberFormat="1" applyFill="0" applyBorder="1" applyAlignment="0"/>
    <xf xfId="0" fontId="0" numFmtId="9" fillId="2" borderId="1" applyFont="0" applyNumberFormat="1" applyFill="0" applyBorder="1" applyAlignment="1">
      <alignment horizontal="center" vertical="bottom" textRotation="0" wrapText="false" shrinkToFit="false"/>
    </xf>
    <xf xfId="0" fontId="3" numFmtId="164" fillId="2" borderId="1" applyFont="1" applyNumberFormat="1" applyFill="0" applyBorder="1" applyAlignment="0"/>
    <xf xfId="0" fontId="2" numFmtId="164" fillId="3" borderId="1" applyFont="1" applyNumberFormat="1" applyFill="1" applyBorder="1" applyAlignment="0"/>
    <xf xfId="0" fontId="2" numFmtId="9" fillId="3" borderId="1" applyFont="1" applyNumberFormat="1" applyFill="1" applyBorder="1" applyAlignment="1">
      <alignment horizontal="center" vertical="bottom" textRotation="0" wrapText="false" shrinkToFit="false"/>
    </xf>
    <xf xfId="0" fontId="2" numFmtId="164" fillId="3" borderId="1" applyFont="1" applyNumberFormat="1" applyFill="1" applyBorder="1" applyAlignment="1">
      <alignment horizontal="center" vertical="bottom" textRotation="0" wrapText="false" shrinkToFit="false"/>
    </xf>
    <xf xfId="0" fontId="1" numFmtId="164" fillId="2" borderId="1" applyFont="1" applyNumberFormat="1" applyFill="0" applyBorder="1" applyAlignment="0"/>
    <xf xfId="0" fontId="4" numFmtId="164" fillId="2" borderId="1" applyFont="1" applyNumberFormat="1" applyFill="0" applyBorder="1" applyAlignment="0"/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9" fillId="2" borderId="0" applyFont="1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"/>
  <sheetViews>
    <sheetView tabSelected="1" workbookViewId="0" showGridLines="true" showRowColHeaders="1">
      <selection activeCell="E49" sqref="E49"/>
    </sheetView>
  </sheetViews>
  <sheetFormatPr defaultRowHeight="14.4" outlineLevelRow="0" outlineLevelCol="0"/>
  <cols>
    <col min="1" max="1" width="9.10" bestFit="true" style="0"/>
    <col min="2" max="2" width="12.726" bestFit="true" customWidth="true" style="0"/>
    <col min="3" max="3" width="22.152" bestFit="true" customWidth="true" style="0"/>
    <col min="4" max="4" width="22.152" bestFit="true" customWidth="true" style="0"/>
    <col min="5" max="5" width="26.865" bestFit="true" customWidth="true" style="0"/>
    <col min="6" max="6" width="38.491" bestFit="true" customWidth="true" style="0"/>
    <col min="7" max="7" width="18.538" bestFit="true" customWidth="true" style="0"/>
    <col min="8" max="8" width="24.351" bestFit="true" customWidth="true" style="0"/>
    <col min="9" max="9" width="29.064" bestFit="true" customWidth="true" style="0"/>
  </cols>
  <sheetData>
    <row r="2" spans="1:9">
      <c r="F2" s="1" t="s">
        <v>0</v>
      </c>
    </row>
    <row r="3" spans="1:9">
      <c r="E3" s="2" t="s">
        <v>1</v>
      </c>
      <c r="F3" s="1" t="s">
        <v>2</v>
      </c>
    </row>
    <row r="4" spans="1:9">
      <c r="E4" s="2" t="s">
        <v>3</v>
      </c>
      <c r="F4" s="1" t="s">
        <v>4</v>
      </c>
    </row>
    <row r="6" spans="1:9">
      <c r="F6" s="1" t="s">
        <v>5</v>
      </c>
      <c r="H6" s="2" t="s">
        <v>6</v>
      </c>
      <c r="I6" s="1" t="s">
        <v>7</v>
      </c>
    </row>
    <row r="7" spans="1:9"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</row>
    <row r="8" spans="1:9">
      <c r="B8" s="4" t="s">
        <v>16</v>
      </c>
      <c r="C8" s="6">
        <v>5100.0</v>
      </c>
      <c r="D8" s="6">
        <v>1400.0</v>
      </c>
      <c r="E8" s="6">
        <v>3700.0</v>
      </c>
      <c r="F8" s="7">
        <v>0.72549019607843</v>
      </c>
      <c r="G8" s="6">
        <v>74.0</v>
      </c>
      <c r="H8" s="8">
        <v>1400.0</v>
      </c>
      <c r="I8" s="8">
        <v>28.0</v>
      </c>
    </row>
    <row r="9" spans="1:9">
      <c r="B9" s="4" t="s">
        <v>17</v>
      </c>
      <c r="C9" s="6">
        <v>8499.9</v>
      </c>
      <c r="D9" s="6">
        <v>7949.9</v>
      </c>
      <c r="E9" s="6">
        <v>550.0</v>
      </c>
      <c r="F9" s="7">
        <v>0.064706643607572</v>
      </c>
      <c r="G9" s="6">
        <v>11.0</v>
      </c>
      <c r="H9" s="8">
        <v>0</v>
      </c>
      <c r="I9" s="8">
        <v>0.0</v>
      </c>
    </row>
    <row r="10" spans="1:9">
      <c r="B10" s="4" t="s">
        <v>18</v>
      </c>
      <c r="C10" s="6">
        <v>8370.0</v>
      </c>
      <c r="D10" s="6">
        <v>8370.0</v>
      </c>
      <c r="E10" s="6">
        <v>0.0</v>
      </c>
      <c r="F10" s="7">
        <v>0.0</v>
      </c>
      <c r="G10" s="6">
        <v>0</v>
      </c>
      <c r="H10" s="8">
        <v>0</v>
      </c>
      <c r="I10" s="8">
        <v>0.0</v>
      </c>
    </row>
    <row r="11" spans="1:9">
      <c r="B11" s="4" t="s">
        <v>19</v>
      </c>
      <c r="C11" s="6">
        <v>11850.0</v>
      </c>
      <c r="D11" s="6">
        <v>9100.0</v>
      </c>
      <c r="E11" s="6">
        <v>2750.0</v>
      </c>
      <c r="F11" s="7">
        <v>0.23206751054852</v>
      </c>
      <c r="G11" s="6">
        <v>55.0</v>
      </c>
      <c r="H11" s="8">
        <v>2750.0</v>
      </c>
      <c r="I11" s="8">
        <v>55.0</v>
      </c>
    </row>
    <row r="12" spans="1:9">
      <c r="B12" s="4" t="s">
        <v>20</v>
      </c>
      <c r="C12" s="6">
        <v>8930.0</v>
      </c>
      <c r="D12" s="6">
        <v>7430.0</v>
      </c>
      <c r="E12" s="6">
        <v>1500.0</v>
      </c>
      <c r="F12" s="7">
        <v>0.16797312430011</v>
      </c>
      <c r="G12" s="6">
        <v>30.0</v>
      </c>
      <c r="H12" s="8">
        <v>1500.0</v>
      </c>
      <c r="I12" s="8">
        <v>30.0</v>
      </c>
    </row>
    <row r="13" spans="1:9">
      <c r="B13" s="5" t="s">
        <v>21</v>
      </c>
      <c r="C13" s="9">
        <v>42749.9</v>
      </c>
      <c r="D13" s="9">
        <v>34249.9</v>
      </c>
      <c r="E13" s="9">
        <v>8500.0</v>
      </c>
      <c r="F13" s="10">
        <v>0.19883087445819</v>
      </c>
      <c r="G13" s="9">
        <v>170.0</v>
      </c>
      <c r="H13" s="9">
        <v>5650.0</v>
      </c>
      <c r="I13" s="9">
        <v>113.0</v>
      </c>
    </row>
    <row r="15" spans="1:9">
      <c r="F15" s="1" t="s">
        <v>22</v>
      </c>
    </row>
    <row r="16" spans="1:9"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13</v>
      </c>
      <c r="H16" s="3" t="s">
        <v>14</v>
      </c>
      <c r="I16" s="3" t="s">
        <v>15</v>
      </c>
    </row>
    <row r="17" spans="1:9">
      <c r="B17" s="4" t="s">
        <v>23</v>
      </c>
      <c r="C17" s="6">
        <v>7600.0</v>
      </c>
      <c r="D17" s="6">
        <v>3960.0</v>
      </c>
      <c r="E17" s="6">
        <v>3640.0</v>
      </c>
      <c r="F17" s="7">
        <v>0.47894736842105</v>
      </c>
      <c r="G17" s="6">
        <v>72.8</v>
      </c>
      <c r="H17" s="8">
        <v>3640.0</v>
      </c>
      <c r="I17" s="8">
        <v>72.8</v>
      </c>
    </row>
    <row r="18" spans="1:9">
      <c r="B18" s="4" t="s">
        <v>24</v>
      </c>
      <c r="C18" s="6">
        <v>6285.0</v>
      </c>
      <c r="D18" s="6">
        <v>4210.0</v>
      </c>
      <c r="E18" s="6">
        <v>2075.0</v>
      </c>
      <c r="F18" s="7">
        <v>0.33015115354018</v>
      </c>
      <c r="G18" s="6">
        <v>41.5</v>
      </c>
      <c r="H18" s="8">
        <v>2075.0</v>
      </c>
      <c r="I18" s="8">
        <v>41.5</v>
      </c>
    </row>
    <row r="19" spans="1:9">
      <c r="B19" s="4" t="s">
        <v>25</v>
      </c>
      <c r="C19" s="6">
        <v>8930.0</v>
      </c>
      <c r="D19" s="6">
        <v>8230.0</v>
      </c>
      <c r="E19" s="6">
        <v>700.0</v>
      </c>
      <c r="F19" s="7">
        <v>0.078387458006719</v>
      </c>
      <c r="G19" s="6">
        <v>14.0</v>
      </c>
      <c r="H19" s="8">
        <v>700.0</v>
      </c>
      <c r="I19" s="8">
        <v>14.0</v>
      </c>
    </row>
    <row r="20" spans="1:9">
      <c r="B20" s="5" t="s">
        <v>21</v>
      </c>
      <c r="C20" s="9">
        <v>22815.0</v>
      </c>
      <c r="D20" s="9">
        <v>16400.0</v>
      </c>
      <c r="E20" s="9">
        <v>6415.0</v>
      </c>
      <c r="F20" s="10">
        <v>0.28117466579005</v>
      </c>
      <c r="G20" s="9">
        <v>128.3</v>
      </c>
      <c r="H20" s="9">
        <v>6415.0</v>
      </c>
      <c r="I20" s="9">
        <v>128.3</v>
      </c>
    </row>
    <row r="21" spans="1:9">
      <c r="F21" s="1" t="s">
        <v>26</v>
      </c>
    </row>
    <row r="22" spans="1:9"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13</v>
      </c>
      <c r="H22" s="3" t="s">
        <v>14</v>
      </c>
      <c r="I22" s="3" t="s">
        <v>15</v>
      </c>
    </row>
    <row r="23" spans="1:9">
      <c r="B23" s="4" t="s">
        <v>27</v>
      </c>
      <c r="C23" s="6">
        <v>690.0</v>
      </c>
      <c r="D23" s="6">
        <v>0</v>
      </c>
      <c r="E23" s="6">
        <v>690.0</v>
      </c>
      <c r="F23" s="7">
        <v>1.0</v>
      </c>
      <c r="G23" s="6">
        <v>13.8</v>
      </c>
      <c r="H23" s="8">
        <v>690.0</v>
      </c>
      <c r="I23" s="8">
        <v>13.8</v>
      </c>
    </row>
    <row r="24" spans="1:9">
      <c r="B24" s="4" t="s">
        <v>28</v>
      </c>
      <c r="C24" s="6">
        <v>12481.9</v>
      </c>
      <c r="D24" s="6">
        <v>4081.9</v>
      </c>
      <c r="E24" s="6">
        <v>8400.0</v>
      </c>
      <c r="F24" s="7">
        <v>0.67297446702826</v>
      </c>
      <c r="G24" s="6">
        <v>168.0</v>
      </c>
      <c r="H24" s="8">
        <v>4500.0</v>
      </c>
      <c r="I24" s="8">
        <v>90.0</v>
      </c>
    </row>
    <row r="25" spans="1:9">
      <c r="B25" s="5" t="s">
        <v>21</v>
      </c>
      <c r="C25" s="9">
        <v>13171.9</v>
      </c>
      <c r="D25" s="9">
        <v>4081.9</v>
      </c>
      <c r="E25" s="9">
        <v>9090.0</v>
      </c>
      <c r="F25" s="10">
        <v>0.69010545175715</v>
      </c>
      <c r="G25" s="9">
        <v>181.8</v>
      </c>
      <c r="H25" s="9">
        <v>5190.0</v>
      </c>
      <c r="I25" s="9">
        <v>103.8</v>
      </c>
    </row>
    <row r="26" spans="1:9">
      <c r="F26" s="1" t="s">
        <v>29</v>
      </c>
    </row>
    <row r="27" spans="1:9">
      <c r="B27" s="3" t="s">
        <v>30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13</v>
      </c>
      <c r="H27" s="3" t="s">
        <v>14</v>
      </c>
      <c r="I27" s="3" t="s">
        <v>15</v>
      </c>
    </row>
    <row r="28" spans="1:9">
      <c r="B28" s="4" t="s">
        <v>31</v>
      </c>
      <c r="C28" s="6">
        <v>42749.9</v>
      </c>
      <c r="D28" s="6">
        <v>34249.9</v>
      </c>
      <c r="E28" s="6">
        <v>8500.0</v>
      </c>
      <c r="F28" s="7">
        <v>0.19883087445819</v>
      </c>
      <c r="G28" s="6">
        <v>170.0</v>
      </c>
      <c r="H28" s="8">
        <v>5650.0</v>
      </c>
      <c r="I28" s="8">
        <v>113.0</v>
      </c>
    </row>
    <row r="29" spans="1:9">
      <c r="B29" s="4" t="s">
        <v>32</v>
      </c>
      <c r="C29" s="6">
        <v>22815.0</v>
      </c>
      <c r="D29" s="6">
        <v>16400.0</v>
      </c>
      <c r="E29" s="6">
        <v>6415.0</v>
      </c>
      <c r="F29" s="7">
        <v>0.28117466579005</v>
      </c>
      <c r="G29" s="6">
        <v>128.3</v>
      </c>
      <c r="H29" s="8">
        <v>6415.0</v>
      </c>
      <c r="I29" s="8">
        <v>128.3</v>
      </c>
    </row>
    <row r="30" spans="1:9">
      <c r="B30" s="4" t="s">
        <v>33</v>
      </c>
      <c r="C30" s="6">
        <v>13171.9</v>
      </c>
      <c r="D30" s="6">
        <v>4081.9</v>
      </c>
      <c r="E30" s="6">
        <v>9090.0</v>
      </c>
      <c r="F30" s="7">
        <v>0.69010545175715</v>
      </c>
      <c r="G30" s="6">
        <v>181.8</v>
      </c>
      <c r="H30" s="8">
        <v>5190.0</v>
      </c>
      <c r="I30" s="8">
        <v>103.8</v>
      </c>
    </row>
    <row r="31" spans="1:9">
      <c r="B31" s="5" t="s">
        <v>21</v>
      </c>
      <c r="C31" s="9">
        <v>78736.8</v>
      </c>
      <c r="D31" s="9">
        <v>54731.8</v>
      </c>
      <c r="E31" s="9">
        <v>24005.0</v>
      </c>
      <c r="F31" s="10">
        <v>0.30487649993396</v>
      </c>
      <c r="G31" s="9">
        <v>480.1</v>
      </c>
      <c r="H31" s="9">
        <v>17255.0</v>
      </c>
      <c r="I31" s="9">
        <v>345.1</v>
      </c>
    </row>
    <row r="33" spans="1:9">
      <c r="B33" s="1" t="s">
        <v>34</v>
      </c>
    </row>
    <row r="34" spans="1:9">
      <c r="B34" s="3" t="s">
        <v>35</v>
      </c>
      <c r="C34" s="11" t="s">
        <v>8</v>
      </c>
      <c r="D34" s="11" t="s">
        <v>9</v>
      </c>
      <c r="E34" s="11" t="s">
        <v>36</v>
      </c>
      <c r="F34" s="11" t="s">
        <v>37</v>
      </c>
    </row>
    <row r="35" spans="1:9">
      <c r="B35" s="4" t="s">
        <v>31</v>
      </c>
      <c r="C35" s="12" t="s">
        <v>16</v>
      </c>
      <c r="D35" s="12">
        <v>5100.0</v>
      </c>
      <c r="E35" s="13">
        <v>2800.0</v>
      </c>
      <c r="F35" s="12">
        <v>2300.0</v>
      </c>
    </row>
    <row r="36" spans="1:9">
      <c r="B36" s="4" t="s">
        <v>31</v>
      </c>
      <c r="C36" s="12" t="s">
        <v>17</v>
      </c>
      <c r="D36" s="12">
        <v>8499.9</v>
      </c>
      <c r="E36" s="13">
        <v>7949.9</v>
      </c>
      <c r="F36" s="12">
        <v>550.0</v>
      </c>
    </row>
    <row r="37" spans="1:9">
      <c r="B37" s="4" t="s">
        <v>31</v>
      </c>
      <c r="C37" s="12" t="s">
        <v>18</v>
      </c>
      <c r="D37" s="12">
        <v>8370.0</v>
      </c>
      <c r="E37" s="13">
        <v>8370.0</v>
      </c>
      <c r="F37" s="12">
        <v>0.0</v>
      </c>
    </row>
    <row r="38" spans="1:9">
      <c r="B38" s="4" t="s">
        <v>31</v>
      </c>
      <c r="C38" s="12" t="s">
        <v>19</v>
      </c>
      <c r="D38" s="12">
        <v>11850.0</v>
      </c>
      <c r="E38" s="13">
        <v>11850.0</v>
      </c>
      <c r="F38" s="12">
        <v>0.0</v>
      </c>
    </row>
    <row r="39" spans="1:9">
      <c r="B39" s="4" t="s">
        <v>31</v>
      </c>
      <c r="C39" s="12" t="s">
        <v>20</v>
      </c>
      <c r="D39" s="12">
        <v>8930.0</v>
      </c>
      <c r="E39" s="13">
        <v>8930.0</v>
      </c>
      <c r="F39" s="12">
        <v>0.0</v>
      </c>
    </row>
    <row r="40" spans="1:9">
      <c r="B40" s="4"/>
      <c r="C40" s="12"/>
      <c r="D40" s="12"/>
      <c r="E40" s="13"/>
      <c r="F40" s="12"/>
    </row>
    <row r="41" spans="1:9">
      <c r="B41" s="4" t="s">
        <v>32</v>
      </c>
      <c r="C41" s="12" t="s">
        <v>23</v>
      </c>
      <c r="D41" s="12">
        <v>7600.0</v>
      </c>
      <c r="E41" s="13">
        <v>7600.0</v>
      </c>
      <c r="F41" s="12">
        <v>0.0</v>
      </c>
    </row>
    <row r="42" spans="1:9">
      <c r="B42" s="4" t="s">
        <v>32</v>
      </c>
      <c r="C42" s="12" t="s">
        <v>24</v>
      </c>
      <c r="D42" s="12">
        <v>6285.0</v>
      </c>
      <c r="E42" s="13">
        <v>6285.0</v>
      </c>
      <c r="F42" s="12">
        <v>0.0</v>
      </c>
    </row>
    <row r="43" spans="1:9">
      <c r="B43" s="4" t="s">
        <v>32</v>
      </c>
      <c r="C43" s="12" t="s">
        <v>25</v>
      </c>
      <c r="D43" s="12">
        <v>8930.0</v>
      </c>
      <c r="E43" s="13">
        <v>8930.0</v>
      </c>
      <c r="F43" s="12">
        <v>0.0</v>
      </c>
    </row>
    <row r="44" spans="1:9">
      <c r="B44" s="4"/>
      <c r="C44" s="12"/>
      <c r="D44" s="12"/>
      <c r="E44" s="13"/>
      <c r="F44" s="12"/>
    </row>
    <row r="45" spans="1:9">
      <c r="B45" s="4" t="s">
        <v>33</v>
      </c>
      <c r="C45" s="12" t="s">
        <v>27</v>
      </c>
      <c r="D45" s="12">
        <v>690.0</v>
      </c>
      <c r="E45" s="13">
        <v>690.0</v>
      </c>
      <c r="F45" s="12">
        <v>0.0</v>
      </c>
    </row>
    <row r="46" spans="1:9">
      <c r="B46" s="4" t="s">
        <v>33</v>
      </c>
      <c r="C46" s="12" t="s">
        <v>28</v>
      </c>
      <c r="D46" s="12">
        <v>12481.9</v>
      </c>
      <c r="E46" s="13">
        <v>8581.9</v>
      </c>
      <c r="F46" s="12">
        <v>3900.0</v>
      </c>
    </row>
    <row r="47" spans="1:9">
      <c r="B47" s="5"/>
      <c r="C47" s="9" t="s">
        <v>21</v>
      </c>
      <c r="D47" s="9">
        <f>sum(D35:D46)</f>
        <v>78736.8</v>
      </c>
      <c r="E47" s="9">
        <f>sum(E35:E46)</f>
        <v>71986.8</v>
      </c>
      <c r="F47" s="9">
        <f>sum(F35:F46)</f>
        <v>6750</v>
      </c>
    </row>
    <row r="48" spans="1:9">
      <c r="D48" s="14" t="s">
        <v>38</v>
      </c>
      <c r="E48" s="15">
        <f>(E47/D47)</f>
        <v>0.91427134453013</v>
      </c>
    </row>
    <row r="49" spans="1:9">
      <c r="D49" s="14" t="s">
        <v>39</v>
      </c>
      <c r="E49" s="15">
        <f>(F47/D47)</f>
        <v>0.085728655469869</v>
      </c>
    </row>
  </sheetData>
  <mergeCells>
    <mergeCell ref="B33:F33"/>
  </mergeCells>
  <printOptions gridLines="false" gridLinesSet="true"/>
  <pageMargins left="0" right="0" top="0" bottom="0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CAMPANHA 76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2025-11-18T10:57:08-03:00</dcterms:created>
  <dcterms:modified xsi:type="dcterms:W3CDTF">2025-11-18T10:57:08-03:00</dcterms:modified>
  <dc:title>Untitled Spreadsheet</dc:title>
  <dc:description/>
  <dc:subject/>
  <cp:keywords/>
  <cp:category/>
</cp:coreProperties>
</file>