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PTAÇÃ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<sst xmlns="http://schemas.openxmlformats.org/spreadsheetml/2006/main" uniqueCount="26">
  <si>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PERIODO:</t>
  </si>
  <si>
    <t>21/10/2025 - 28/10/2025</t>
  </si>
  <si>
    <t>RELATÓRIO GERADO EM:</t>
  </si>
  <si>
    <t>29/10/2025 (10:04)</t>
  </si>
  <si>
    <t>CAPTAÇÃO  CLÍNICA - (PARQUE)</t>
  </si>
  <si>
    <t>SISTEMA</t>
  </si>
  <si>
    <t>CAPTAÇÃO</t>
  </si>
  <si>
    <t>CAPTADOR</t>
  </si>
  <si>
    <t>CAPTADOS</t>
  </si>
  <si>
    <t>(%) CAPTADOS</t>
  </si>
  <si>
    <t>CONVERTIDOS</t>
  </si>
  <si>
    <t>(%) CONVERTIDOS</t>
  </si>
  <si>
    <t>VENDIDOS</t>
  </si>
  <si>
    <t>(%) VENDIDOS</t>
  </si>
  <si>
    <t>LENTES</t>
  </si>
  <si>
    <t>GARANTIAS</t>
  </si>
  <si>
    <t>COMISSÕES (R$2,00)</t>
  </si>
  <si>
    <t>PREMIAÇÃO (%)</t>
  </si>
  <si>
    <t>ANA</t>
  </si>
  <si>
    <t>ALINE</t>
  </si>
  <si>
    <t>TOTAL</t>
  </si>
  <si>
    <t>CAPTAÇÃO  CLÍNICA - (MAUÁ)</t>
  </si>
  <si>
    <t>RAYSSA</t>
  </si>
  <si>
    <t>RAPHAELLA</t>
  </si>
  <si>
    <t>RAFAELA</t>
  </si>
  <si>
    <t>CAPTAÇÃO  CLÍNICA - (JARDIM)</t>
  </si>
</sst>
</file>

<file path=xl/styles.xml><?xml version="1.0" encoding="utf-8"?>
<styleSheet xmlns="http://schemas.openxmlformats.org/spreadsheetml/2006/main" xml:space="preserve">
  <numFmts count="1">
    <numFmt numFmtId="164" formatCode="_-&quot;R$&quot; * #,##0.00_-;-&quot;R$&quot; * #,##0.00_-;_-&quot;R$&quot; * &quot;-&quot;??_-;_-@_-"/>
  </numFmts>
  <fonts count="3">
    <font>
      <b val="0"/>
      <i val="0"/>
      <strike val="0"/>
      <u val="none"/>
      <sz val="11"/>
      <color rgb="FF000000"/>
      <name val="Aptos Narrow"/>
    </font>
    <font>
      <b val="1"/>
      <i val="0"/>
      <strike val="0"/>
      <u val="none"/>
      <sz val="11"/>
      <color rgb="FF000000"/>
      <name val="Aptos Narrow"/>
    </font>
    <font>
      <b val="1"/>
      <i val="0"/>
      <strike val="0"/>
      <u val="none"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/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0"/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164" fillId="2" borderId="0" applyFont="0" applyNumberFormat="1" applyFill="0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9" fillId="2" borderId="1" applyFont="0" applyNumberFormat="1" applyFill="0" applyBorder="1" applyAlignment="1">
      <alignment horizontal="center" vertical="bottom" textRotation="0" wrapText="false" shrinkToFit="false"/>
    </xf>
    <xf xfId="0" fontId="0" numFmtId="164" fillId="2" borderId="1" applyFont="0" applyNumberFormat="1" applyFill="0" applyBorder="1" applyAlignment="1">
      <alignment horizontal="center" vertical="bottom" textRotation="0" wrapText="false" shrinkToFit="false"/>
    </xf>
    <xf xfId="0" fontId="2" numFmtId="9" fillId="3" borderId="1" applyFont="1" applyNumberFormat="1" applyFill="1" applyBorder="1" applyAlignment="1">
      <alignment horizontal="center" vertical="bottom" textRotation="0" wrapText="false" shrinkToFit="false"/>
    </xf>
    <xf xfId="0" fontId="2" numFmtId="164" fillId="3" borderId="1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"/>
  <sheetViews>
    <sheetView tabSelected="1" workbookViewId="0" zoomScale="80" showGridLines="true" showRowColHeaders="1">
      <selection activeCell="B19" sqref="B19:M20"/>
    </sheetView>
  </sheetViews>
  <sheetFormatPr defaultRowHeight="14.4" outlineLevelRow="0" outlineLevelCol="0"/>
  <cols>
    <col min="1" max="1" width="24.708" bestFit="true" customWidth="true" style="0"/>
    <col min="2" max="2" width="28.136" bestFit="true" customWidth="true" style="0"/>
    <col min="3" max="3" width="12.854" bestFit="true" customWidth="true" style="0"/>
    <col min="4" max="4" width="12.854" bestFit="true" customWidth="true" style="0"/>
    <col min="5" max="5" width="17.567" bestFit="true" customWidth="true" style="0"/>
    <col min="6" max="6" width="16.282" bestFit="true" customWidth="true" style="0"/>
    <col min="7" max="7" width="20.995" bestFit="true" customWidth="true" style="0"/>
    <col min="8" max="8" width="12.854" bestFit="true" customWidth="true" style="0"/>
    <col min="9" max="9" width="17.567" bestFit="true" customWidth="true" style="0"/>
    <col min="10" max="10" width="10.426" bestFit="true" customWidth="true" style="0"/>
    <col min="11" max="11" width="13.997" bestFit="true" customWidth="true" style="0"/>
    <col min="12" max="12" width="24.565" bestFit="true" customWidth="true" style="0"/>
    <col min="13" max="13" width="18.71" bestFit="true" customWidth="true" style="0"/>
    <col min="14" max="14" width="13.997" bestFit="true" customWidth="true" style="0"/>
    <col min="15" max="15" width="9.10" bestFit="true" style="0"/>
  </cols>
  <sheetData>
    <row r="2" spans="1:15">
      <c r="A2" s="1" t="s">
        <v>0</v>
      </c>
      <c r="B2" s="2" t="s">
        <v>1</v>
      </c>
    </row>
    <row r="3" spans="1:15">
      <c r="A3" s="1" t="s">
        <v>2</v>
      </c>
      <c r="B3" s="2" t="s">
        <v>3</v>
      </c>
    </row>
    <row r="5" spans="1:15">
      <c r="C5" s="3" t="s">
        <v>5</v>
      </c>
      <c r="D5" s="3" t="s">
        <v>6</v>
      </c>
      <c r="E5" s="3" t="s">
        <v>4</v>
      </c>
      <c r="F5" s="4"/>
      <c r="G5" s="4"/>
      <c r="H5" s="4"/>
    </row>
    <row r="6" spans="1:15">
      <c r="B6" s="6" t="s">
        <v>7</v>
      </c>
      <c r="C6" s="6" t="s">
        <v>8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</row>
    <row r="7" spans="1:15">
      <c r="B7" s="7" t="s">
        <v>18</v>
      </c>
      <c r="C7" s="8"/>
      <c r="D7" s="8">
        <v>77</v>
      </c>
      <c r="E7" s="9">
        <f>IFERROR(D7/C7,0)</f>
        <v>0</v>
      </c>
      <c r="F7" s="8">
        <v>46</v>
      </c>
      <c r="G7" s="9">
        <f>IFERROR(F7/C7,0)</f>
        <v>0</v>
      </c>
      <c r="H7" s="8"/>
      <c r="I7" s="9">
        <f>IFERROR(H7/D7,0)</f>
        <v>0</v>
      </c>
      <c r="J7" s="8">
        <v>0</v>
      </c>
      <c r="K7" s="8">
        <v>0</v>
      </c>
      <c r="L7" s="10">
        <f>H7*2</f>
        <v>0</v>
      </c>
      <c r="M7" s="10">
        <f>IFERROR(IF(F7/C7&gt;0.80, 250, IF(F7/C7&gt;0.70, 200, IF(F7/C7&gt;0.60, 150, IF(F7/C7&gt;0.50, 100, 0)))), "-")</f>
        <v>0</v>
      </c>
      <c r="N7" s="5">
        <f>SUM(L7:M7)</f>
        <v>0</v>
      </c>
    </row>
    <row r="8" spans="1:15">
      <c r="B8" s="7" t="s">
        <v>19</v>
      </c>
      <c r="C8" s="8">
        <f>C7</f>
        <v/>
      </c>
      <c r="D8" s="8">
        <v>57</v>
      </c>
      <c r="E8" s="9">
        <f>IFERROR(D8/C8,0)</f>
        <v>0</v>
      </c>
      <c r="F8" s="8">
        <v>43</v>
      </c>
      <c r="G8" s="9">
        <f>IFERROR(F8/C8,0)</f>
        <v>0</v>
      </c>
      <c r="H8" s="8"/>
      <c r="I8" s="9">
        <f>IFERROR(H8/D8,0)</f>
        <v>0</v>
      </c>
      <c r="J8" s="8">
        <v>2</v>
      </c>
      <c r="K8" s="8">
        <v>3</v>
      </c>
      <c r="L8" s="10">
        <f>H8*2</f>
        <v>0</v>
      </c>
      <c r="M8" s="10">
        <f>IFERROR(IF(F8/C8&gt;0.80, 250, IF(F8/C8&gt;0.70, 200, IF(F8/C8&gt;0.60, 150, IF(F8/C8&gt;0.50, 100, 0)))), "-")</f>
        <v>0</v>
      </c>
      <c r="N8" s="5">
        <f>SUM(L8:M8)</f>
        <v>0</v>
      </c>
    </row>
    <row r="9" spans="1:15">
      <c r="B9" s="6" t="s">
        <v>20</v>
      </c>
      <c r="C9" s="6">
        <f>C7</f>
        <v/>
      </c>
      <c r="D9" s="6">
        <v>134</v>
      </c>
      <c r="E9" s="11">
        <f>IFERROR(D9/C9,0)</f>
        <v>0</v>
      </c>
      <c r="F9" s="6">
        <v>88</v>
      </c>
      <c r="G9" s="11">
        <v>0.6875</v>
      </c>
      <c r="H9" s="6">
        <f>SUM(H7:H8)</f>
        <v>0</v>
      </c>
      <c r="I9" s="11">
        <f>IFERROR(H9/D9,0)</f>
        <v>0</v>
      </c>
      <c r="J9" s="6">
        <v>2</v>
      </c>
      <c r="K9" s="6">
        <v>3</v>
      </c>
      <c r="L9" s="12">
        <f>H9*2</f>
        <v>0</v>
      </c>
      <c r="M9" s="12">
        <f>SUM(M7:M8)</f>
        <v>0</v>
      </c>
    </row>
    <row r="11" spans="1:15">
      <c r="C11" s="3" t="s">
        <v>5</v>
      </c>
      <c r="D11" s="3" t="s">
        <v>6</v>
      </c>
      <c r="E11" s="3" t="s">
        <v>21</v>
      </c>
      <c r="F11" s="4"/>
      <c r="G11" s="4"/>
      <c r="H11" s="4"/>
    </row>
    <row r="12" spans="1:15">
      <c r="B12" s="6" t="s">
        <v>7</v>
      </c>
      <c r="C12" s="6" t="s">
        <v>8</v>
      </c>
      <c r="D12" s="6" t="s">
        <v>8</v>
      </c>
      <c r="E12" s="6" t="s">
        <v>9</v>
      </c>
      <c r="F12" s="6" t="s">
        <v>10</v>
      </c>
      <c r="G12" s="6" t="s">
        <v>11</v>
      </c>
      <c r="H12" s="6" t="s">
        <v>12</v>
      </c>
      <c r="I12" s="6" t="s">
        <v>13</v>
      </c>
      <c r="J12" s="6" t="s">
        <v>14</v>
      </c>
      <c r="K12" s="6" t="s">
        <v>15</v>
      </c>
      <c r="L12" s="6" t="s">
        <v>16</v>
      </c>
      <c r="M12" s="6" t="s">
        <v>17</v>
      </c>
    </row>
    <row r="13" spans="1:15">
      <c r="B13" s="7" t="s">
        <v>22</v>
      </c>
      <c r="C13" s="8"/>
      <c r="D13" s="8">
        <v>15</v>
      </c>
      <c r="E13" s="9">
        <f>IFERROR(D13/C13,0)</f>
        <v>0</v>
      </c>
      <c r="F13" s="8">
        <v>9</v>
      </c>
      <c r="G13" s="9">
        <f>IFERROR(F13/C13,0)</f>
        <v>0</v>
      </c>
      <c r="H13" s="8"/>
      <c r="I13" s="9">
        <f>IFERROR(H13/D13,0)</f>
        <v>0</v>
      </c>
      <c r="J13" s="8">
        <v>0</v>
      </c>
      <c r="K13" s="8">
        <v>0</v>
      </c>
      <c r="L13" s="10">
        <f>H13*2</f>
        <v>0</v>
      </c>
      <c r="M13" s="10">
        <f>IFERROR(IF(F13/C13&gt;0.80, 250, IF(F13/C13&gt;0.70, 200, IF(F13/C13&gt;0.60, 150, IF(F13/C13&gt;0.50, 100, 0)))), "-")</f>
        <v>0</v>
      </c>
      <c r="N13" s="5">
        <f>SUM(L13:M13)</f>
        <v>0</v>
      </c>
    </row>
    <row r="14" spans="1:15">
      <c r="B14" s="7" t="s">
        <v>23</v>
      </c>
      <c r="C14" s="8">
        <f>C13</f>
        <v/>
      </c>
      <c r="D14" s="8">
        <v>60</v>
      </c>
      <c r="E14" s="9">
        <f>IFERROR(D14/C14,0)</f>
        <v>0</v>
      </c>
      <c r="F14" s="8">
        <v>32</v>
      </c>
      <c r="G14" s="9">
        <f>IFERROR(F14/C14,0)</f>
        <v>0</v>
      </c>
      <c r="H14" s="8"/>
      <c r="I14" s="9">
        <f>IFERROR(H14/D14,0)</f>
        <v>0</v>
      </c>
      <c r="J14" s="8">
        <v>0</v>
      </c>
      <c r="K14" s="8">
        <v>3</v>
      </c>
      <c r="L14" s="10">
        <f>H14*2</f>
        <v>0</v>
      </c>
      <c r="M14" s="10">
        <f>IFERROR(IF(F14/C14&gt;0.80, 250, IF(F14/C14&gt;0.70, 200, IF(F14/C14&gt;0.60, 150, IF(F14/C14&gt;0.50, 100, 0)))), "-")</f>
        <v>0</v>
      </c>
      <c r="N14" s="5">
        <f>SUM(L14:M14)</f>
        <v>0</v>
      </c>
    </row>
    <row r="15" spans="1:15">
      <c r="B15" s="7" t="s">
        <v>24</v>
      </c>
      <c r="C15" s="8">
        <f>C13</f>
        <v/>
      </c>
      <c r="D15" s="8">
        <v>48</v>
      </c>
      <c r="E15" s="9">
        <f>IFERROR(D15/C15,0)</f>
        <v>0</v>
      </c>
      <c r="F15" s="8">
        <v>18</v>
      </c>
      <c r="G15" s="9">
        <f>IFERROR(F15/C15,0)</f>
        <v>0</v>
      </c>
      <c r="H15" s="8"/>
      <c r="I15" s="9">
        <f>IFERROR(H15/D15,0)</f>
        <v>0</v>
      </c>
      <c r="J15" s="8">
        <v>0</v>
      </c>
      <c r="K15" s="8">
        <v>0</v>
      </c>
      <c r="L15" s="10">
        <f>H15*2</f>
        <v>0</v>
      </c>
      <c r="M15" s="10">
        <f>IFERROR(IF(F15/C15&gt;0.80, 250, IF(F15/C15&gt;0.70, 200, IF(F15/C15&gt;0.60, 150, IF(F15/C15&gt;0.50, 100, 0)))), "-")</f>
        <v>0</v>
      </c>
      <c r="N15" s="5">
        <f>SUM(L15:M15)</f>
        <v>0</v>
      </c>
    </row>
    <row r="16" spans="1:15">
      <c r="B16" s="6" t="s">
        <v>20</v>
      </c>
      <c r="C16" s="6">
        <f>C13</f>
        <v/>
      </c>
      <c r="D16" s="6">
        <v>123</v>
      </c>
      <c r="E16" s="11">
        <f>IFERROR(D16/C16,0)</f>
        <v>0</v>
      </c>
      <c r="F16" s="6">
        <v>59</v>
      </c>
      <c r="G16" s="11">
        <v>0.49166666666667</v>
      </c>
      <c r="H16" s="6">
        <f>SUM(H13:H15)</f>
        <v>0</v>
      </c>
      <c r="I16" s="11">
        <f>IFERROR(H16/D16,0)</f>
        <v>0</v>
      </c>
      <c r="J16" s="6">
        <v>0</v>
      </c>
      <c r="K16" s="6">
        <v>3</v>
      </c>
      <c r="L16" s="12">
        <f>H16*2</f>
        <v>0</v>
      </c>
      <c r="M16" s="12">
        <f>SUM(M13:M15)</f>
        <v>0</v>
      </c>
    </row>
    <row r="18" spans="1:15">
      <c r="C18" s="3" t="s">
        <v>5</v>
      </c>
      <c r="D18" s="3" t="s">
        <v>6</v>
      </c>
      <c r="E18" s="3" t="s">
        <v>25</v>
      </c>
      <c r="F18" s="4"/>
      <c r="G18" s="4"/>
      <c r="H18" s="4"/>
    </row>
    <row r="19" spans="1:15">
      <c r="B19" s="6" t="s">
        <v>7</v>
      </c>
      <c r="C19" s="6" t="s">
        <v>8</v>
      </c>
      <c r="D19" s="6" t="s">
        <v>8</v>
      </c>
      <c r="E19" s="6" t="s">
        <v>9</v>
      </c>
      <c r="F19" s="6" t="s">
        <v>10</v>
      </c>
      <c r="G19" s="6" t="s">
        <v>11</v>
      </c>
      <c r="H19" s="6" t="s">
        <v>12</v>
      </c>
      <c r="I19" s="6" t="s">
        <v>13</v>
      </c>
      <c r="J19" s="6" t="s">
        <v>14</v>
      </c>
      <c r="K19" s="6" t="s">
        <v>15</v>
      </c>
      <c r="L19" s="6" t="s">
        <v>16</v>
      </c>
      <c r="M19" s="6" t="s">
        <v>17</v>
      </c>
    </row>
    <row r="20" spans="1:15">
      <c r="B20" s="6" t="s">
        <v>20</v>
      </c>
      <c r="C20" s="6">
        <f>C13</f>
        <v/>
      </c>
      <c r="D20" s="6">
        <v>6</v>
      </c>
      <c r="E20" s="11">
        <f>IFERROR(D20/C20,0)</f>
        <v>0</v>
      </c>
      <c r="F20" s="6">
        <v>1</v>
      </c>
      <c r="G20" s="11">
        <v>0.2</v>
      </c>
      <c r="H20" s="6">
        <f>SUM(H13:H19)</f>
        <v>0</v>
      </c>
      <c r="I20" s="11">
        <f>IFERROR(H20/D20,0)</f>
        <v>0</v>
      </c>
      <c r="J20" s="6">
        <v>1</v>
      </c>
      <c r="K20" s="6">
        <v>0</v>
      </c>
      <c r="L20" s="12">
        <f>H20*2</f>
        <v>0</v>
      </c>
      <c r="M20" s="12">
        <f>SUM(M13:M19)</f>
        <v>0</v>
      </c>
    </row>
  </sheetData>
  <mergeCells>
    <mergeCell ref="E5:H5"/>
    <mergeCell ref="E11:H11"/>
    <mergeCell ref="E18:H18"/>
  </mergeCells>
  <printOptions gridLines="false" gridLinesSet="true"/>
  <pageMargins left="0" right="0" top="0" bottom="0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CAPTAÇÃO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2025-10-29T10:04:40-03:00</dcterms:created>
  <dcterms:modified xsi:type="dcterms:W3CDTF">2025-10-29T10:04:40-03:00</dcterms:modified>
  <dc:title>Untitled Spreadsheet</dc:title>
  <dc:description/>
  <dc:subject/>
  <cp:keywords/>
  <cp:category/>
</cp:coreProperties>
</file>